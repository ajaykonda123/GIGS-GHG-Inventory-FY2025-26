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40a6f289fba2c4/Desktop/"/>
    </mc:Choice>
  </mc:AlternateContent>
  <xr:revisionPtr revIDLastSave="0" documentId="14_{68599DD8-3677-404C-B0F4-A513259E591F}" xr6:coauthVersionLast="47" xr6:coauthVersionMax="47" xr10:uidLastSave="{00000000-0000-0000-0000-000000000000}"/>
  <bookViews>
    <workbookView xWindow="-108" yWindow="-108" windowWidth="23256" windowHeight="13896" activeTab="5" xr2:uid="{737FBE15-8572-4348-B67B-15731EDD6E45}"/>
  </bookViews>
  <sheets>
    <sheet name="Activity_Data" sheetId="1" r:id="rId1"/>
    <sheet name="Emission_Factors" sheetId="2" r:id="rId2"/>
    <sheet name="GHG_Calculations" sheetId="3" r:id="rId3"/>
    <sheet name="GHG_Summary" sheetId="4" r:id="rId4"/>
    <sheet name="Dashboard" sheetId="5" r:id="rId5"/>
    <sheet name="Methodology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5" l="1"/>
  <c r="B7" i="5"/>
  <c r="B8" i="5"/>
  <c r="B9" i="5"/>
  <c r="H4" i="4"/>
  <c r="H7" i="4"/>
  <c r="H5" i="4"/>
  <c r="H2" i="4"/>
  <c r="H6" i="4"/>
  <c r="H3" i="4"/>
  <c r="H8" i="4"/>
  <c r="G4" i="4"/>
  <c r="I3" i="4" s="1"/>
  <c r="G7" i="4"/>
  <c r="G5" i="4"/>
  <c r="G2" i="4"/>
  <c r="G6" i="4"/>
  <c r="G3" i="4"/>
  <c r="I5" i="4" s="1"/>
  <c r="G8" i="4"/>
  <c r="F4" i="4"/>
  <c r="F7" i="4"/>
  <c r="F5" i="4"/>
  <c r="F2" i="4"/>
  <c r="F6" i="4"/>
  <c r="F3" i="4"/>
  <c r="F8" i="4"/>
  <c r="E3" i="4"/>
  <c r="E8" i="4"/>
  <c r="E7" i="4"/>
  <c r="E5" i="4"/>
  <c r="E2" i="4"/>
  <c r="E6" i="4"/>
  <c r="E4" i="4"/>
  <c r="C2" i="4"/>
  <c r="C3" i="4"/>
  <c r="C4" i="4"/>
  <c r="C5" i="4"/>
  <c r="B2" i="4"/>
  <c r="B3" i="4"/>
  <c r="B4" i="4"/>
  <c r="B5" i="4"/>
  <c r="L2" i="3"/>
  <c r="L3" i="3"/>
  <c r="L4" i="3"/>
  <c r="L5" i="3"/>
  <c r="L6" i="3"/>
  <c r="L7" i="3"/>
  <c r="L8" i="3"/>
  <c r="K2" i="3"/>
  <c r="K3" i="3"/>
  <c r="K4" i="3"/>
  <c r="K5" i="3"/>
  <c r="K6" i="3"/>
  <c r="K7" i="3"/>
  <c r="K8" i="3"/>
  <c r="J2" i="3"/>
  <c r="J3" i="3"/>
  <c r="J4" i="3"/>
  <c r="J5" i="3"/>
  <c r="J6" i="3"/>
  <c r="J7" i="3"/>
  <c r="J8" i="3"/>
  <c r="I2" i="3"/>
  <c r="I3" i="3"/>
  <c r="I4" i="3"/>
  <c r="I5" i="3"/>
  <c r="I6" i="3"/>
  <c r="I7" i="3"/>
  <c r="I8" i="3"/>
  <c r="H2" i="3"/>
  <c r="H3" i="3"/>
  <c r="H4" i="3"/>
  <c r="H5" i="3"/>
  <c r="H6" i="3"/>
  <c r="H7" i="3"/>
  <c r="H8" i="3"/>
  <c r="G2" i="3"/>
  <c r="G3" i="3"/>
  <c r="G4" i="3"/>
  <c r="G5" i="3"/>
  <c r="G6" i="3"/>
  <c r="G7" i="3"/>
  <c r="G8" i="3"/>
  <c r="F2" i="3"/>
  <c r="F3" i="3"/>
  <c r="F4" i="3"/>
  <c r="F5" i="3"/>
  <c r="F6" i="3"/>
  <c r="F7" i="3"/>
  <c r="F8" i="3"/>
  <c r="E2" i="3"/>
  <c r="E3" i="3"/>
  <c r="E4" i="3"/>
  <c r="E5" i="3"/>
  <c r="E6" i="3"/>
  <c r="E7" i="3"/>
  <c r="E8" i="3"/>
  <c r="D2" i="3"/>
  <c r="D3" i="3"/>
  <c r="D4" i="3"/>
  <c r="D5" i="3"/>
  <c r="D6" i="3"/>
  <c r="D7" i="3"/>
  <c r="D8" i="3"/>
  <c r="C2" i="3"/>
  <c r="C3" i="3"/>
  <c r="C4" i="3"/>
  <c r="C5" i="3"/>
  <c r="C6" i="3"/>
  <c r="C7" i="3"/>
  <c r="C8" i="3"/>
  <c r="B2" i="3"/>
  <c r="B3" i="3"/>
  <c r="B4" i="3"/>
  <c r="B5" i="3"/>
  <c r="B6" i="3"/>
  <c r="B7" i="3"/>
  <c r="B8" i="3"/>
  <c r="I6" i="4" l="1"/>
  <c r="I7" i="4"/>
  <c r="I8" i="4"/>
  <c r="I2" i="4"/>
  <c r="I4" i="4"/>
</calcChain>
</file>

<file path=xl/sharedStrings.xml><?xml version="1.0" encoding="utf-8"?>
<sst xmlns="http://schemas.openxmlformats.org/spreadsheetml/2006/main" count="114" uniqueCount="57">
  <si>
    <t>Activity</t>
  </si>
  <si>
    <t>Source</t>
  </si>
  <si>
    <t>Diesel</t>
  </si>
  <si>
    <t>MAESA Foundation training exercise</t>
  </si>
  <si>
    <t>Petrol</t>
  </si>
  <si>
    <t>Grid electricity</t>
  </si>
  <si>
    <t>Refrigerant leakage</t>
  </si>
  <si>
    <t>Employee commuting</t>
  </si>
  <si>
    <t>Purchased raw materials</t>
  </si>
  <si>
    <t>Waste treatment</t>
  </si>
  <si>
    <t>Activity_ID</t>
  </si>
  <si>
    <t>Scope</t>
  </si>
  <si>
    <t>Scope 3 Category</t>
  </si>
  <si>
    <t>Quantity</t>
  </si>
  <si>
    <t>Unit</t>
  </si>
  <si>
    <t>EF_ID</t>
  </si>
  <si>
    <t>A001</t>
  </si>
  <si>
    <t>—</t>
  </si>
  <si>
    <t>litres</t>
  </si>
  <si>
    <t>EF001</t>
  </si>
  <si>
    <t>A002</t>
  </si>
  <si>
    <t>EF002</t>
  </si>
  <si>
    <t>A003</t>
  </si>
  <si>
    <t>kg</t>
  </si>
  <si>
    <t>EF004</t>
  </si>
  <si>
    <t>A004</t>
  </si>
  <si>
    <t>kWh</t>
  </si>
  <si>
    <t>EF003</t>
  </si>
  <si>
    <t>A005</t>
  </si>
  <si>
    <t>Category 7</t>
  </si>
  <si>
    <t>km</t>
  </si>
  <si>
    <t>EF005</t>
  </si>
  <si>
    <t>A006</t>
  </si>
  <si>
    <t>Category 1</t>
  </si>
  <si>
    <t>EF006</t>
  </si>
  <si>
    <t>A007</t>
  </si>
  <si>
    <t>Category 5</t>
  </si>
  <si>
    <t>EF007</t>
  </si>
  <si>
    <t>Emission Factor</t>
  </si>
  <si>
    <t>kg CO₂/L</t>
  </si>
  <si>
    <t>kg CO₂/kWh</t>
  </si>
  <si>
    <t>kg CO₂e/kg</t>
  </si>
  <si>
    <t>kg CO₂e/km</t>
  </si>
  <si>
    <t>EF Unit</t>
  </si>
  <si>
    <t>kgCO₂e</t>
  </si>
  <si>
    <t>tCO₂e</t>
  </si>
  <si>
    <t>% of Total</t>
  </si>
  <si>
    <t>Emissions (tCO₂e)</t>
  </si>
  <si>
    <t>Scope 1</t>
  </si>
  <si>
    <t>Scope 2</t>
  </si>
  <si>
    <t>Scope 3</t>
  </si>
  <si>
    <t>Total</t>
  </si>
  <si>
    <t>Rank</t>
  </si>
  <si>
    <t>GIGS Manufacturing Pvt. Ltd. — GHG Inventory Dashboard FY 2025-26</t>
  </si>
  <si>
    <t>KPI</t>
  </si>
  <si>
    <t>Total GHG Emissions</t>
  </si>
  <si>
    <t>Methodology / Project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</si>
</sst>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rial"/>
      <family val="2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2" fillId="0" borderId="0" xfId="1" applyNumberFormat="1" applyFont="1" applyAlignment="1">
      <alignment horizontal="center" vertical="center" wrapText="1"/>
    </xf>
    <xf numFmtId="2" fontId="0" fillId="0" borderId="0" xfId="1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10" fontId="0" fillId="0" borderId="0" xfId="0" applyNumberFormat="1"/>
    <xf numFmtId="2" fontId="0" fillId="0" borderId="0" xfId="0" applyNumberFormat="1" applyAlignment="1">
      <alignment vertical="center" wrapText="1"/>
    </xf>
    <xf numFmtId="2" fontId="0" fillId="0" borderId="0" xfId="0" applyNumberFormat="1"/>
    <xf numFmtId="0" fontId="2" fillId="0" borderId="0" xfId="0" applyFont="1"/>
    <xf numFmtId="0" fontId="4" fillId="0" borderId="0" xfId="0" applyFont="1" applyAlignment="1">
      <alignment horizontal="center" vertical="center"/>
    </xf>
    <xf numFmtId="2" fontId="5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6" fillId="0" borderId="0" xfId="0" applyFont="1"/>
  </cellXfs>
  <cellStyles count="2">
    <cellStyle name="Normal" xfId="0" builtinId="0"/>
    <cellStyle name="Per cent" xfId="1" builtinId="5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14" formatCode="0.00%"/>
    </dxf>
    <dxf>
      <numFmt numFmtId="2" formatCode="0.0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2" formatCode="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GHG</a:t>
            </a:r>
            <a:r>
              <a:rPr lang="en-US" baseline="0"/>
              <a:t> Emissions by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GHG_Summary!$B$1</c:f>
              <c:strCache>
                <c:ptCount val="1"/>
                <c:pt idx="0">
                  <c:v>Emissions (tCO₂e)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FE0-4F05-BC70-A7B895E2B9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FE0-4F05-BC70-A7B895E2B9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FE0-4F05-BC70-A7B895E2B9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GHG_Summary!$A$2:$A$4</c:f>
              <c:strCache>
                <c:ptCount val="3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GHG_Summary!$B$2:$B$4</c:f>
              <c:numCache>
                <c:formatCode>0.00</c:formatCode>
                <c:ptCount val="3"/>
                <c:pt idx="0">
                  <c:v>90.7</c:v>
                </c:pt>
                <c:pt idx="1">
                  <c:v>171.84</c:v>
                </c:pt>
                <c:pt idx="2">
                  <c:v>78.900000000000006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9-4D7F-AD05-D06A7C7DA4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GHG</a:t>
            </a:r>
            <a:r>
              <a:rPr lang="en-GB" baseline="0"/>
              <a:t> Emissions by Source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GHG_Summary!$G$1</c:f>
              <c:strCache>
                <c:ptCount val="1"/>
                <c:pt idx="0">
                  <c:v>tCO₂e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GHG_Summary!$E$2:$E$8</c:f>
              <c:strCache>
                <c:ptCount val="7"/>
                <c:pt idx="0">
                  <c:v>Grid electricity</c:v>
                </c:pt>
                <c:pt idx="1">
                  <c:v>Purchased raw materials</c:v>
                </c:pt>
                <c:pt idx="2">
                  <c:v>Diesel</c:v>
                </c:pt>
                <c:pt idx="3">
                  <c:v>Refrigerant leakage</c:v>
                </c:pt>
                <c:pt idx="4">
                  <c:v>Employee commuting</c:v>
                </c:pt>
                <c:pt idx="5">
                  <c:v>Petrol</c:v>
                </c:pt>
                <c:pt idx="6">
                  <c:v>Waste treatment</c:v>
                </c:pt>
              </c:strCache>
            </c:strRef>
          </c:cat>
          <c:val>
            <c:numRef>
              <c:f>GHG_Summary!$G$2:$G$8</c:f>
              <c:numCache>
                <c:formatCode>0.00</c:formatCode>
                <c:ptCount val="7"/>
                <c:pt idx="0">
                  <c:v>171.84</c:v>
                </c:pt>
                <c:pt idx="1">
                  <c:v>60</c:v>
                </c:pt>
                <c:pt idx="2">
                  <c:v>48.24</c:v>
                </c:pt>
                <c:pt idx="3">
                  <c:v>28.6</c:v>
                </c:pt>
                <c:pt idx="4">
                  <c:v>14.4</c:v>
                </c:pt>
                <c:pt idx="5">
                  <c:v>13.86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9-4130-BE3D-E6CA7741E8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589119"/>
        <c:axId val="485664495"/>
      </c:barChart>
      <c:catAx>
        <c:axId val="186458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664495"/>
        <c:crosses val="autoZero"/>
        <c:auto val="1"/>
        <c:lblAlgn val="ctr"/>
        <c:lblOffset val="100"/>
        <c:noMultiLvlLbl val="0"/>
      </c:catAx>
      <c:valAx>
        <c:axId val="48566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8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GHG</a:t>
            </a:r>
            <a:r>
              <a:rPr lang="en-GB" baseline="0"/>
              <a:t> Emissions by Source (</a:t>
            </a:r>
            <a:r>
              <a:rPr lang="en-GB" sz="1400" b="0" i="0" u="none" strike="noStrike" baseline="0"/>
              <a:t>tCO₂e)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GHG_Summary!$G$1</c:f>
              <c:strCache>
                <c:ptCount val="1"/>
                <c:pt idx="0">
                  <c:v>tCO₂e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GHG_Summary!$E$2:$E$8</c:f>
              <c:strCache>
                <c:ptCount val="7"/>
                <c:pt idx="0">
                  <c:v>Grid electricity</c:v>
                </c:pt>
                <c:pt idx="1">
                  <c:v>Purchased raw materials</c:v>
                </c:pt>
                <c:pt idx="2">
                  <c:v>Diesel</c:v>
                </c:pt>
                <c:pt idx="3">
                  <c:v>Refrigerant leakage</c:v>
                </c:pt>
                <c:pt idx="4">
                  <c:v>Employee commuting</c:v>
                </c:pt>
                <c:pt idx="5">
                  <c:v>Petrol</c:v>
                </c:pt>
                <c:pt idx="6">
                  <c:v>Waste treatment</c:v>
                </c:pt>
              </c:strCache>
            </c:strRef>
          </c:cat>
          <c:val>
            <c:numRef>
              <c:f>GHG_Summary!$G$2:$G$8</c:f>
              <c:numCache>
                <c:formatCode>0.00</c:formatCode>
                <c:ptCount val="7"/>
                <c:pt idx="0">
                  <c:v>171.84</c:v>
                </c:pt>
                <c:pt idx="1">
                  <c:v>60</c:v>
                </c:pt>
                <c:pt idx="2">
                  <c:v>48.24</c:v>
                </c:pt>
                <c:pt idx="3">
                  <c:v>28.6</c:v>
                </c:pt>
                <c:pt idx="4">
                  <c:v>14.4</c:v>
                </c:pt>
                <c:pt idx="5">
                  <c:v>13.86</c:v>
                </c:pt>
                <c:pt idx="6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0-41C6-99A7-983D55B779A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64589119"/>
        <c:axId val="485664495"/>
      </c:barChart>
      <c:catAx>
        <c:axId val="1864589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664495"/>
        <c:crosses val="autoZero"/>
        <c:auto val="1"/>
        <c:lblAlgn val="ctr"/>
        <c:lblOffset val="100"/>
        <c:noMultiLvlLbl val="0"/>
      </c:catAx>
      <c:valAx>
        <c:axId val="48566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58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GHG</a:t>
            </a:r>
            <a:r>
              <a:rPr lang="en-US" baseline="0"/>
              <a:t> Emissions by scope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GHG_Summary!$B$1</c:f>
              <c:strCache>
                <c:ptCount val="1"/>
                <c:pt idx="0">
                  <c:v>Emissions (tCO₂e)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46B-4FA8-A2E9-9ED11E7C45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46B-4FA8-A2E9-9ED11E7C45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46B-4FA8-A2E9-9ED11E7C45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GHG_Summary!$A$2:$A$4</c:f>
              <c:strCache>
                <c:ptCount val="3"/>
                <c:pt idx="0">
                  <c:v>Scope 1</c:v>
                </c:pt>
                <c:pt idx="1">
                  <c:v>Scope 2</c:v>
                </c:pt>
                <c:pt idx="2">
                  <c:v>Scope 3</c:v>
                </c:pt>
              </c:strCache>
            </c:strRef>
          </c:cat>
          <c:val>
            <c:numRef>
              <c:f>GHG_Summary!$B$2:$B$4</c:f>
              <c:numCache>
                <c:formatCode>0.00</c:formatCode>
                <c:ptCount val="3"/>
                <c:pt idx="0">
                  <c:v>90.7</c:v>
                </c:pt>
                <c:pt idx="1">
                  <c:v>171.84</c:v>
                </c:pt>
                <c:pt idx="2">
                  <c:v>78.900000000000006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6B-4FA8-A2E9-9ED11E7C45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12</xdr:row>
      <xdr:rowOff>140970</xdr:rowOff>
    </xdr:from>
    <xdr:to>
      <xdr:col>17</xdr:col>
      <xdr:colOff>312420</xdr:colOff>
      <xdr:row>27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AA8267-7229-F0A6-7155-B9DC9440D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388620</xdr:colOff>
      <xdr:row>10</xdr:row>
      <xdr:rowOff>19050</xdr:rowOff>
    </xdr:from>
    <xdr:to>
      <xdr:col>8</xdr:col>
      <xdr:colOff>548640</xdr:colOff>
      <xdr:row>25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E8811B-4D06-7979-D3D6-7B018C21A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7036525</xdr:colOff>
      <xdr:row>11</xdr:row>
      <xdr:rowOff>47897</xdr:rowOff>
    </xdr:from>
    <xdr:to>
      <xdr:col>10</xdr:col>
      <xdr:colOff>402770</xdr:colOff>
      <xdr:row>28</xdr:row>
      <xdr:rowOff>54428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A06E2C5-41A9-4B23-B8A6-661D37B059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936171</xdr:colOff>
      <xdr:row>10</xdr:row>
      <xdr:rowOff>142603</xdr:rowOff>
    </xdr:from>
    <xdr:to>
      <xdr:col>0</xdr:col>
      <xdr:colOff>5931625</xdr:colOff>
      <xdr:row>25</xdr:row>
      <xdr:rowOff>142603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73373A6-114A-48BA-8139-7985BB3928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297179</xdr:colOff>
      <xdr:row>28</xdr:row>
      <xdr:rowOff>174171</xdr:rowOff>
    </xdr:from>
    <xdr:ext cx="5994763" cy="171994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F5274AE-88CA-69EF-60BD-B814DB789D47}"/>
            </a:ext>
          </a:extLst>
        </xdr:cNvPr>
        <xdr:cNvSpPr txBox="1"/>
      </xdr:nvSpPr>
      <xdr:spPr>
        <a:xfrm>
          <a:off x="297179" y="5486400"/>
          <a:ext cx="5994763" cy="17199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buNone/>
          </a:pPr>
          <a:r>
            <a:rPr lang="en-GB" b="1"/>
            <a:t>Key Findings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Total GHG emissions: </a:t>
          </a:r>
          <a:r>
            <a:rPr lang="en-GB" b="1"/>
            <a:t>341.44 tCO₂e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 b="1"/>
            <a:t>Grid electricity is the largest hotspot</a:t>
          </a:r>
          <a:r>
            <a:rPr lang="en-GB"/>
            <a:t>, contributing </a:t>
          </a:r>
          <a:r>
            <a:rPr lang="en-GB" b="1"/>
            <a:t>171.84 tCO₂e (50.33%)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Purchased raw materials are the second-largest source at </a:t>
          </a:r>
          <a:r>
            <a:rPr lang="en-GB" b="1"/>
            <a:t>60.00 tCO₂e (17.57%)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Diesel contributes </a:t>
          </a:r>
          <a:r>
            <a:rPr lang="en-GB" b="1"/>
            <a:t>48.24 tCO₂e (14.13%)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Scope 2 is the largest emissions scope at </a:t>
          </a:r>
          <a:r>
            <a:rPr lang="en-GB" b="1"/>
            <a:t>50.33% of total emissions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The four largest sources together account for about </a:t>
          </a:r>
          <a:r>
            <a:rPr lang="en-GB" b="1"/>
            <a:t>90% of the footprint</a:t>
          </a:r>
          <a:r>
            <a:rPr lang="en-GB"/>
            <a:t>.</a:t>
          </a:r>
        </a:p>
        <a:p>
          <a:endParaRPr lang="en-GB" sz="1100"/>
        </a:p>
      </xdr:txBody>
    </xdr:sp>
    <xdr:clientData/>
  </xdr:oneCellAnchor>
  <xdr:oneCellAnchor>
    <xdr:from>
      <xdr:col>0</xdr:col>
      <xdr:colOff>311331</xdr:colOff>
      <xdr:row>40</xdr:row>
      <xdr:rowOff>174172</xdr:rowOff>
    </xdr:from>
    <xdr:ext cx="7482840" cy="1513114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DBBAD68-EEF0-41D9-F13B-EDFD0EE3D471}"/>
            </a:ext>
          </a:extLst>
        </xdr:cNvPr>
        <xdr:cNvSpPr txBox="1"/>
      </xdr:nvSpPr>
      <xdr:spPr>
        <a:xfrm>
          <a:off x="311331" y="7707086"/>
          <a:ext cx="7482840" cy="15131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buNone/>
          </a:pPr>
          <a:r>
            <a:rPr lang="en-GB" b="1"/>
            <a:t>Recommendations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Reduce grid-electricity emissions through </a:t>
          </a:r>
          <a:r>
            <a:rPr lang="en-GB" b="1"/>
            <a:t>renewable electricity and energy-efficiency measures</a:t>
          </a:r>
          <a:endParaRPr lang="en-GB"/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Reduce diesel consumption through improved generator efficiency and cleaner alternatives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Improve refrigerant leak detection and consider lower-GWP refrigerants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Engage suppliers and explore lower-carbon or recycled raw materials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Encourage carpooling, shuttle transport and public-transport options for employee commuting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Improve waste segregation, recycling and reuse.</a:t>
          </a:r>
        </a:p>
        <a:p>
          <a:endParaRPr lang="en-GB" sz="1100"/>
        </a:p>
      </xdr:txBody>
    </xdr:sp>
    <xdr:clientData/>
  </xdr:oneCellAnchor>
  <xdr:oneCellAnchor>
    <xdr:from>
      <xdr:col>0</xdr:col>
      <xdr:colOff>327659</xdr:colOff>
      <xdr:row>53</xdr:row>
      <xdr:rowOff>21773</xdr:rowOff>
    </xdr:from>
    <xdr:ext cx="7335883" cy="9906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7F839C0-D50E-6316-3CAA-8E4C68223B66}"/>
            </a:ext>
          </a:extLst>
        </xdr:cNvPr>
        <xdr:cNvSpPr txBox="1"/>
      </xdr:nvSpPr>
      <xdr:spPr>
        <a:xfrm>
          <a:off x="327659" y="9960430"/>
          <a:ext cx="7335883" cy="9906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b="1"/>
            <a:t>Portfolio note:</a:t>
          </a:r>
          <a:r>
            <a:rPr lang="en-GB"/>
            <a:t> Activity data and emission factors were provided as part of a MAESA Foundation carbon-footprint training exercise. GHG calculations, scope classification, analysis, dashboard, hotspot assessment and recommendations were developed for this portfolio case study.</a:t>
          </a:r>
          <a:endParaRPr lang="en-GB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3</xdr:row>
      <xdr:rowOff>160020</xdr:rowOff>
    </xdr:from>
    <xdr:ext cx="8542020" cy="23241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09977D-7391-C88F-E2FB-27CE93FC1B14}"/>
            </a:ext>
          </a:extLst>
        </xdr:cNvPr>
        <xdr:cNvSpPr txBox="1"/>
      </xdr:nvSpPr>
      <xdr:spPr>
        <a:xfrm>
          <a:off x="1104900" y="792480"/>
          <a:ext cx="8542020" cy="2324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b="1"/>
            <a:t>Project:</a:t>
          </a:r>
          <a:r>
            <a:rPr lang="en-GB"/>
            <a:t> Corporate Carbon Footprint &amp; GHG Inventory — GIGS Manufacturing Pvt. Ltd.</a:t>
          </a:r>
          <a:br>
            <a:rPr lang="en-GB"/>
          </a:br>
          <a:r>
            <a:rPr lang="en-GB" b="1"/>
            <a:t>Reporting period:</a:t>
          </a:r>
          <a:r>
            <a:rPr lang="en-GB"/>
            <a:t> FY 2025–26</a:t>
          </a:r>
        </a:p>
        <a:p>
          <a:r>
            <a:rPr lang="en-GB" b="1"/>
            <a:t>Standard:</a:t>
          </a:r>
          <a:r>
            <a:rPr lang="en-GB"/>
            <a:t> GHG Protocol Corporate Standard</a:t>
          </a:r>
        </a:p>
        <a:p>
          <a:r>
            <a:rPr lang="en-GB" b="1"/>
            <a:t>Organizational boundary:</a:t>
          </a:r>
          <a:r>
            <a:rPr lang="en-GB"/>
            <a:t> One manufacturing facility and one administrative office</a:t>
          </a:r>
          <a:br>
            <a:rPr lang="en-GB"/>
          </a:br>
          <a:r>
            <a:rPr lang="en-GB" b="1"/>
            <a:t>Boundary approach:</a:t>
          </a:r>
          <a:r>
            <a:rPr lang="en-GB"/>
            <a:t> Operational control</a:t>
          </a:r>
          <a:br>
            <a:rPr lang="en-GB"/>
          </a:br>
          <a:r>
            <a:rPr lang="en-GB" b="1"/>
            <a:t>Scopes covered:</a:t>
          </a:r>
          <a:r>
            <a:rPr lang="en-GB"/>
            <a:t> Scope 1, Scope 2 and selected Scope 3 categories</a:t>
          </a:r>
          <a:br>
            <a:rPr lang="en-GB"/>
          </a:br>
          <a:r>
            <a:rPr lang="en-GB" b="1"/>
            <a:t>Scope 3 categories:</a:t>
          </a:r>
          <a:r>
            <a:rPr lang="en-GB"/>
            <a:t> Category 1 Purchased Goods &amp; Services, Category 5 Waste Generated in Operations, Category 7 Employee Commuting</a:t>
          </a:r>
          <a:br>
            <a:rPr lang="en-GB"/>
          </a:br>
          <a:r>
            <a:rPr lang="en-GB" b="1"/>
            <a:t>Calculation method:</a:t>
          </a:r>
          <a:r>
            <a:rPr lang="en-GB"/>
            <a:t> Activity Data × Emission Factor</a:t>
          </a:r>
          <a:br>
            <a:rPr lang="en-GB"/>
          </a:br>
          <a:r>
            <a:rPr lang="en-GB" b="1"/>
            <a:t>Units:</a:t>
          </a:r>
          <a:r>
            <a:rPr lang="en-GB"/>
            <a:t> Results converted from kgCO₂e to tCO₂e</a:t>
          </a:r>
          <a:br>
            <a:rPr lang="en-GB"/>
          </a:br>
          <a:r>
            <a:rPr lang="en-GB" b="1"/>
            <a:t>Data source:</a:t>
          </a:r>
          <a:r>
            <a:rPr lang="en-GB"/>
            <a:t> Activity data supplied through the MAESA Foundation training exercise</a:t>
          </a:r>
          <a:br>
            <a:rPr lang="en-GB"/>
          </a:br>
          <a:r>
            <a:rPr lang="en-GB" b="1"/>
            <a:t>Emission-factor source:</a:t>
          </a:r>
          <a:r>
            <a:rPr lang="en-GB"/>
            <a:t> MAESA Foundation training exercise</a:t>
          </a:r>
          <a:br>
            <a:rPr lang="en-GB"/>
          </a:br>
          <a:r>
            <a:rPr lang="en-GB" b="1"/>
            <a:t>Limitation:</a:t>
          </a:r>
          <a:r>
            <a:rPr lang="en-GB"/>
            <a:t> This is a training-based portfolio case study, not an assured corporate GHG inventory</a:t>
          </a:r>
          <a:br>
            <a:rPr lang="en-GB"/>
          </a:br>
          <a:r>
            <a:rPr lang="en-GB" b="1"/>
            <a:t>Purpose:</a:t>
          </a:r>
          <a:r>
            <a:rPr lang="en-GB"/>
            <a:t> Demonstrate GHG accounting, Excel analysis, hotspot identification and reduction recommendations</a:t>
          </a:r>
          <a:endParaRPr lang="en-GB" sz="1100"/>
        </a:p>
      </xdr:txBody>
    </xdr:sp>
    <xdr:clientData/>
  </xdr:oneCellAnchor>
  <xdr:oneCellAnchor>
    <xdr:from>
      <xdr:col>1</xdr:col>
      <xdr:colOff>579120</xdr:colOff>
      <xdr:row>19</xdr:row>
      <xdr:rowOff>68580</xdr:rowOff>
    </xdr:from>
    <xdr:ext cx="5280660" cy="17068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19AD1D-B454-A6E8-5CDC-B566DCBA75D9}"/>
            </a:ext>
          </a:extLst>
        </xdr:cNvPr>
        <xdr:cNvSpPr txBox="1"/>
      </xdr:nvSpPr>
      <xdr:spPr>
        <a:xfrm>
          <a:off x="1188720" y="3627120"/>
          <a:ext cx="5280660" cy="17068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b="1"/>
            <a:t>Assumptions &amp; Limitations</a:t>
          </a:r>
          <a:r>
            <a:rPr lang="en-GB"/>
            <a:t> 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Activity data and emission factors were provided for the training exercise.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Scope 2 uses the supplied grid factor and a location-based calculation.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Only selected Scope 3 categories are included.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Supplier-specific emission factors were not available.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No independent assurance or verification was performed.</a:t>
          </a:r>
        </a:p>
        <a:p>
          <a:pPr marL="342900" lvl="0" indent="-342900">
            <a:buFont typeface="Arial" panose="020B0604020202020204" pitchFamily="34" charset="0"/>
            <a:buChar char="•"/>
          </a:pPr>
          <a:r>
            <a:rPr lang="en-GB"/>
            <a:t>Results should therefore be treated as a portfolio/training inventory.</a:t>
          </a:r>
        </a:p>
        <a:p>
          <a:endParaRPr lang="en-GB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A0CC24-52C2-4297-916D-5D6D91348702}" name="tblActivity" displayName="tblActivity" ref="A1:G8" totalsRowShown="0" headerRowDxfId="42" dataDxfId="41">
  <autoFilter ref="A1:G8" xr:uid="{D6A0CC24-52C2-4297-916D-5D6D91348702}"/>
  <tableColumns count="7">
    <tableColumn id="1" xr3:uid="{B36ACD6A-DA90-4B29-B7B2-267A52A34610}" name="Activity_ID" dataDxfId="40"/>
    <tableColumn id="2" xr3:uid="{57CDD64F-E4D4-4BAA-8DCA-97145E034961}" name="Activity" dataDxfId="39"/>
    <tableColumn id="3" xr3:uid="{5BE91BA2-400D-4566-A0C3-6956DC0DE2D4}" name="Scope" dataDxfId="38"/>
    <tableColumn id="4" xr3:uid="{495D648D-E966-4EED-A37A-A4FFD42D076D}" name="Scope 3 Category" dataDxfId="37"/>
    <tableColumn id="5" xr3:uid="{EF0CE7BA-5D25-4722-9B52-12C3E6BF6A6E}" name="Quantity" dataDxfId="36"/>
    <tableColumn id="6" xr3:uid="{CE89718F-446D-436F-A641-36A0BE38D39B}" name="Unit" dataDxfId="35"/>
    <tableColumn id="7" xr3:uid="{1110608B-3F5B-4103-9B12-5BC0A0AAE82F}" name="EF_ID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12B7C2-AD8D-4C49-ABDB-4B6792FBA8C4}" name="tblEF" displayName="tblEF" ref="A1:E8" totalsRowShown="0" headerRowDxfId="33" dataDxfId="32">
  <autoFilter ref="A1:E8" xr:uid="{1612B7C2-AD8D-4C49-ABDB-4B6792FBA8C4}"/>
  <tableColumns count="5">
    <tableColumn id="1" xr3:uid="{FF9E889B-1631-43DA-9015-E193325F6317}" name="EF_ID" dataDxfId="31"/>
    <tableColumn id="2" xr3:uid="{84A5A197-DC25-48D0-B131-21557AA923FD}" name="Activity" dataDxfId="30"/>
    <tableColumn id="3" xr3:uid="{B6A67BD5-C9DA-48BE-85D9-FCDC2813E1BA}" name="Emission Factor" dataDxfId="29"/>
    <tableColumn id="4" xr3:uid="{44ABD34A-0B05-4EB0-AC9E-777DBF80E6FF}" name="Unit" dataDxfId="28"/>
    <tableColumn id="5" xr3:uid="{CA5C3C7A-31E6-4DE5-8B88-F01F561FE07B}" name="Source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B90DA98-2EA2-4FE0-BBD7-6A88BCFFEF53}" name="tblCalculations" displayName="tblCalculations" ref="A1:L8" totalsRowShown="0" headerRowDxfId="26" dataDxfId="25">
  <autoFilter ref="A1:L8" xr:uid="{FB90DA98-2EA2-4FE0-BBD7-6A88BCFFEF53}"/>
  <tableColumns count="12">
    <tableColumn id="1" xr3:uid="{494A7D88-A7C3-4183-9C9B-73506E047D45}" name="Activity_ID" dataDxfId="24"/>
    <tableColumn id="2" xr3:uid="{FB993C6B-65C2-4641-855D-F447254570CB}" name="Activity" dataDxfId="23">
      <calculatedColumnFormula>_xlfn.XLOOKUP(A2,Activity_Data!$A$2:$A$8,Activity_Data!$B$2:$B$8)</calculatedColumnFormula>
    </tableColumn>
    <tableColumn id="3" xr3:uid="{4C33F19B-12A3-41F2-AFCD-D1E3D0EEE353}" name="Scope" dataDxfId="22">
      <calculatedColumnFormula>_xlfn.XLOOKUP(A2,Activity_Data!$A$2:$A$8,Activity_Data!$C$2:$C$8)</calculatedColumnFormula>
    </tableColumn>
    <tableColumn id="4" xr3:uid="{E9C9B49C-091A-4DB5-A9D3-3DDB27B0B833}" name="Scope 3 Category" dataDxfId="21">
      <calculatedColumnFormula>_xlfn.XLOOKUP(A2,Activity_Data!$A$2:$A$8,Activity_Data!$D$2:$D$8)</calculatedColumnFormula>
    </tableColumn>
    <tableColumn id="5" xr3:uid="{5B80B5F1-28FC-4741-ABD9-24EBCE2E2358}" name="Quantity" dataDxfId="20">
      <calculatedColumnFormula>_xlfn.XLOOKUP(A2,Activity_Data!$A$2:$A$8,Activity_Data!$E$2:$E$8)</calculatedColumnFormula>
    </tableColumn>
    <tableColumn id="6" xr3:uid="{867B9026-0CDA-4CA1-AF50-70450168ACBC}" name="Unit" dataDxfId="19">
      <calculatedColumnFormula>_xlfn.XLOOKUP(A2,Activity_Data!$A$2:$A$8,Activity_Data!$F$2:$F$8)</calculatedColumnFormula>
    </tableColumn>
    <tableColumn id="7" xr3:uid="{B2497537-7659-42F3-B74E-1C5743563370}" name="EF_ID" dataDxfId="18">
      <calculatedColumnFormula>_xlfn.XLOOKUP(A2,Activity_Data!$A$2:$A$8,Activity_Data!$G$2:$G$8)</calculatedColumnFormula>
    </tableColumn>
    <tableColumn id="8" xr3:uid="{1EFA2930-A6ED-48D3-BBAC-C3CEA113C92D}" name="Emission Factor" dataDxfId="17">
      <calculatedColumnFormula>_xlfn.XLOOKUP(G2,Emission_Factors!$A$2:$A$8,Emission_Factors!$C$2:$C$8)</calculatedColumnFormula>
    </tableColumn>
    <tableColumn id="9" xr3:uid="{F85C8799-5135-4E0C-871E-67B85C4223A9}" name="EF Unit" dataDxfId="16">
      <calculatedColumnFormula>_xlfn.XLOOKUP(G2,Emission_Factors!$A$2:$A$8,Emission_Factors!$D$2:$D$8)</calculatedColumnFormula>
    </tableColumn>
    <tableColumn id="10" xr3:uid="{1053A8D9-9455-41F8-907C-8A516B838419}" name="kgCO₂e" dataDxfId="15">
      <calculatedColumnFormula>E2*H2</calculatedColumnFormula>
    </tableColumn>
    <tableColumn id="11" xr3:uid="{9ACFC57B-A9AA-4622-8E68-7391EF645778}" name="tCO₂e" dataDxfId="14" dataCellStyle="Per cent">
      <calculatedColumnFormula>J2/1000</calculatedColumnFormula>
    </tableColumn>
    <tableColumn id="12" xr3:uid="{4EA13A22-3C7D-4C00-A2A6-455FDBF204B3}" name="% of Total" dataDxfId="13" dataCellStyle="Per cent">
      <calculatedColumnFormula>K2/SUM($K$2:$K$8)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6A6A39-863D-4D08-BFF7-F64BCF7D0777}" name="Table9" displayName="Table9" ref="A1:C5" totalsRowShown="0" headerRowDxfId="12" dataDxfId="11">
  <autoFilter ref="A1:C5" xr:uid="{9F6A6A39-863D-4D08-BFF7-F64BCF7D0777}"/>
  <tableColumns count="3">
    <tableColumn id="1" xr3:uid="{932DFDD2-5096-4CBE-9409-6C5AAB35EE1D}" name="Scope" dataDxfId="10"/>
    <tableColumn id="2" xr3:uid="{46D0887F-840F-422B-B5A6-E8BD20BBD582}" name="Emissions (tCO₂e)" dataDxfId="9">
      <calculatedColumnFormula>IF(A2="Total",SUM(GHG_Calculations!$K$2:$K$8),SUMIF(GHG_Calculations!$C$2:$C$8,VALUE(RIGHT(A2,1)),GHG_Calculations!$K$2:$K$8))</calculatedColumnFormula>
    </tableColumn>
    <tableColumn id="3" xr3:uid="{D08D49F2-3052-4446-ADE1-E86CA8179688}" name="% of Total" dataDxfId="8">
      <calculatedColumnFormula>IF(A2="Total",1,B2/$B$5)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A82579F-5FD3-4046-8DEF-65A27984490D}" name="Table10" displayName="Table10" ref="E1:I8" totalsRowShown="0" headerRowDxfId="7">
  <autoFilter ref="E1:I8" xr:uid="{0A82579F-5FD3-4046-8DEF-65A27984490D}"/>
  <sortState xmlns:xlrd2="http://schemas.microsoft.com/office/spreadsheetml/2017/richdata2" ref="E2:I8">
    <sortCondition descending="1" ref="H1:H8"/>
  </sortState>
  <tableColumns count="5">
    <tableColumn id="1" xr3:uid="{E0498AA8-DE63-4BD1-BBEB-8EC188E7A2A5}" name="Activity">
      <calculatedColumnFormula>GHG_Calculations!B2</calculatedColumnFormula>
    </tableColumn>
    <tableColumn id="2" xr3:uid="{14F9C8BF-7A69-4139-A03B-326FE7EA1833}" name="Scope" dataDxfId="6">
      <calculatedColumnFormula>GHG_Calculations!C2</calculatedColumnFormula>
    </tableColumn>
    <tableColumn id="3" xr3:uid="{955A03B3-8E2A-43D3-B351-A963604071AA}" name="tCO₂e" dataDxfId="5">
      <calculatedColumnFormula>GHG_Calculations!K2</calculatedColumnFormula>
    </tableColumn>
    <tableColumn id="4" xr3:uid="{62E7E665-9386-48B5-92B5-C279D1A291F5}" name="% of Total" dataDxfId="4">
      <calculatedColumnFormula>GHG_Calculations!L2</calculatedColumnFormula>
    </tableColumn>
    <tableColumn id="5" xr3:uid="{44823E6F-9758-4561-9143-48D273D93473}" name="Rank" dataDxfId="3">
      <calculatedColumnFormula>_xlfn.RANK.EQ(G2,$G$2:$G$8,0)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5B7375-820B-458A-8664-35E37193197D}" name="Table11" displayName="Table11" ref="A5:B9" totalsRowShown="0" headerRowDxfId="2">
  <autoFilter ref="A5:B9" xr:uid="{405B7375-820B-458A-8664-35E37193197D}"/>
  <tableColumns count="2">
    <tableColumn id="1" xr3:uid="{71FFA90C-6E32-4EC5-AF12-72698B293B84}" name="KPI" dataDxfId="1"/>
    <tableColumn id="2" xr3:uid="{B933DD31-398F-4175-80EE-F3EFF0AB57C5}" name="tCO₂e" dataDxfId="0">
      <calculatedColumnFormula>GHG_Summary!B1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B95C-E58C-456A-B1C0-7630F7939D8D}">
  <dimension ref="A1:G8"/>
  <sheetViews>
    <sheetView zoomScaleNormal="100" workbookViewId="0">
      <selection activeCell="A4" sqref="A4"/>
    </sheetView>
  </sheetViews>
  <sheetFormatPr defaultRowHeight="14.4"/>
  <cols>
    <col min="1" max="1" width="16.33203125" bestFit="1" customWidth="1"/>
    <col min="2" max="2" width="13.5546875" bestFit="1" customWidth="1"/>
    <col min="3" max="3" width="12.77734375" bestFit="1" customWidth="1"/>
    <col min="4" max="4" width="22.33203125" bestFit="1" customWidth="1"/>
    <col min="5" max="5" width="14.6640625" bestFit="1" customWidth="1"/>
    <col min="6" max="6" width="10.88671875" bestFit="1" customWidth="1"/>
    <col min="7" max="7" width="12.21875" bestFit="1" customWidth="1"/>
  </cols>
  <sheetData>
    <row r="1" spans="1:7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s="2" t="s">
        <v>16</v>
      </c>
      <c r="B2" s="2" t="s">
        <v>2</v>
      </c>
      <c r="C2" s="2">
        <v>1</v>
      </c>
      <c r="D2" s="2" t="s">
        <v>17</v>
      </c>
      <c r="E2" s="2">
        <v>18000</v>
      </c>
      <c r="F2" s="2" t="s">
        <v>18</v>
      </c>
      <c r="G2" s="2" t="s">
        <v>19</v>
      </c>
    </row>
    <row r="3" spans="1:7">
      <c r="A3" s="2" t="s">
        <v>20</v>
      </c>
      <c r="B3" s="2" t="s">
        <v>4</v>
      </c>
      <c r="C3" s="2">
        <v>1</v>
      </c>
      <c r="D3" s="2" t="s">
        <v>17</v>
      </c>
      <c r="E3" s="2">
        <v>6000</v>
      </c>
      <c r="F3" s="2" t="s">
        <v>18</v>
      </c>
      <c r="G3" s="2" t="s">
        <v>21</v>
      </c>
    </row>
    <row r="4" spans="1:7" ht="28.8">
      <c r="A4" s="2" t="s">
        <v>22</v>
      </c>
      <c r="B4" s="2" t="s">
        <v>6</v>
      </c>
      <c r="C4" s="2">
        <v>1</v>
      </c>
      <c r="D4" s="2" t="s">
        <v>17</v>
      </c>
      <c r="E4" s="2">
        <v>20</v>
      </c>
      <c r="F4" s="2" t="s">
        <v>23</v>
      </c>
      <c r="G4" s="2" t="s">
        <v>24</v>
      </c>
    </row>
    <row r="5" spans="1:7">
      <c r="A5" s="2" t="s">
        <v>25</v>
      </c>
      <c r="B5" s="2" t="s">
        <v>5</v>
      </c>
      <c r="C5" s="2">
        <v>2</v>
      </c>
      <c r="D5" s="2" t="s">
        <v>17</v>
      </c>
      <c r="E5" s="2">
        <v>240000</v>
      </c>
      <c r="F5" s="2" t="s">
        <v>26</v>
      </c>
      <c r="G5" s="2" t="s">
        <v>27</v>
      </c>
    </row>
    <row r="6" spans="1:7" ht="28.8">
      <c r="A6" s="2" t="s">
        <v>28</v>
      </c>
      <c r="B6" s="2" t="s">
        <v>7</v>
      </c>
      <c r="C6" s="2">
        <v>3</v>
      </c>
      <c r="D6" s="2" t="s">
        <v>29</v>
      </c>
      <c r="E6" s="2">
        <v>80000</v>
      </c>
      <c r="F6" s="2" t="s">
        <v>30</v>
      </c>
      <c r="G6" s="2" t="s">
        <v>31</v>
      </c>
    </row>
    <row r="7" spans="1:7" ht="28.8">
      <c r="A7" s="2" t="s">
        <v>32</v>
      </c>
      <c r="B7" s="2" t="s">
        <v>8</v>
      </c>
      <c r="C7" s="2">
        <v>3</v>
      </c>
      <c r="D7" s="2" t="s">
        <v>33</v>
      </c>
      <c r="E7" s="2">
        <v>120000</v>
      </c>
      <c r="F7" s="2" t="s">
        <v>23</v>
      </c>
      <c r="G7" s="2" t="s">
        <v>34</v>
      </c>
    </row>
    <row r="8" spans="1:7" ht="28.8">
      <c r="A8" s="2" t="s">
        <v>35</v>
      </c>
      <c r="B8" s="2" t="s">
        <v>9</v>
      </c>
      <c r="C8" s="2">
        <v>3</v>
      </c>
      <c r="D8" s="2" t="s">
        <v>36</v>
      </c>
      <c r="E8" s="2">
        <v>15000</v>
      </c>
      <c r="F8" s="2" t="s">
        <v>23</v>
      </c>
      <c r="G8" s="2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0CC23-EF29-4F9A-AD4A-E380420634E6}">
  <dimension ref="A1:E8"/>
  <sheetViews>
    <sheetView zoomScale="70" zoomScaleNormal="70" workbookViewId="0">
      <selection activeCell="C8" sqref="C8"/>
    </sheetView>
  </sheetViews>
  <sheetFormatPr defaultRowHeight="14.4"/>
  <cols>
    <col min="1" max="1" width="12.21875" bestFit="1" customWidth="1"/>
    <col min="2" max="2" width="13.5546875" bestFit="1" customWidth="1"/>
    <col min="3" max="3" width="20.88671875" bestFit="1" customWidth="1"/>
    <col min="4" max="4" width="10.88671875" bestFit="1" customWidth="1"/>
    <col min="5" max="5" width="13.44140625" bestFit="1" customWidth="1"/>
  </cols>
  <sheetData>
    <row r="1" spans="1:5">
      <c r="A1" s="1" t="s">
        <v>15</v>
      </c>
      <c r="B1" s="1" t="s">
        <v>0</v>
      </c>
      <c r="C1" s="1" t="s">
        <v>38</v>
      </c>
      <c r="D1" s="1" t="s">
        <v>14</v>
      </c>
      <c r="E1" s="1" t="s">
        <v>1</v>
      </c>
    </row>
    <row r="2" spans="1:5" ht="57.6">
      <c r="A2" s="2" t="s">
        <v>19</v>
      </c>
      <c r="B2" s="2" t="s">
        <v>2</v>
      </c>
      <c r="C2" s="2">
        <v>2.68</v>
      </c>
      <c r="D2" s="2" t="s">
        <v>39</v>
      </c>
      <c r="E2" s="2" t="s">
        <v>3</v>
      </c>
    </row>
    <row r="3" spans="1:5" ht="57.6">
      <c r="A3" s="2" t="s">
        <v>21</v>
      </c>
      <c r="B3" s="2" t="s">
        <v>4</v>
      </c>
      <c r="C3" s="2">
        <v>2.31</v>
      </c>
      <c r="D3" s="2" t="s">
        <v>39</v>
      </c>
      <c r="E3" s="2" t="s">
        <v>3</v>
      </c>
    </row>
    <row r="4" spans="1:5" ht="57.6">
      <c r="A4" s="2" t="s">
        <v>27</v>
      </c>
      <c r="B4" s="2" t="s">
        <v>5</v>
      </c>
      <c r="C4" s="2">
        <v>0.71599999999999997</v>
      </c>
      <c r="D4" s="2" t="s">
        <v>40</v>
      </c>
      <c r="E4" s="2" t="s">
        <v>3</v>
      </c>
    </row>
    <row r="5" spans="1:5" ht="57.6">
      <c r="A5" s="2" t="s">
        <v>24</v>
      </c>
      <c r="B5" s="2" t="s">
        <v>6</v>
      </c>
      <c r="C5" s="2">
        <v>1430</v>
      </c>
      <c r="D5" s="2" t="s">
        <v>41</v>
      </c>
      <c r="E5" s="2" t="s">
        <v>3</v>
      </c>
    </row>
    <row r="6" spans="1:5" ht="57.6">
      <c r="A6" s="2" t="s">
        <v>31</v>
      </c>
      <c r="B6" s="2" t="s">
        <v>7</v>
      </c>
      <c r="C6" s="2">
        <v>0.18</v>
      </c>
      <c r="D6" s="2" t="s">
        <v>42</v>
      </c>
      <c r="E6" s="2" t="s">
        <v>3</v>
      </c>
    </row>
    <row r="7" spans="1:5" ht="57.6">
      <c r="A7" s="2" t="s">
        <v>34</v>
      </c>
      <c r="B7" s="2" t="s">
        <v>8</v>
      </c>
      <c r="C7" s="2">
        <v>0.5</v>
      </c>
      <c r="D7" s="2" t="s">
        <v>41</v>
      </c>
      <c r="E7" s="2" t="s">
        <v>3</v>
      </c>
    </row>
    <row r="8" spans="1:5" ht="57.6">
      <c r="A8" s="2" t="s">
        <v>37</v>
      </c>
      <c r="B8" s="2" t="s">
        <v>9</v>
      </c>
      <c r="C8" s="2">
        <v>0.3</v>
      </c>
      <c r="D8" s="2" t="s">
        <v>41</v>
      </c>
      <c r="E8" s="2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5168-562F-4C61-B347-9C8FF32C476F}">
  <dimension ref="A1:L8"/>
  <sheetViews>
    <sheetView workbookViewId="0">
      <selection activeCell="K1" sqref="K1:K1048576"/>
    </sheetView>
  </sheetViews>
  <sheetFormatPr defaultRowHeight="14.4"/>
  <cols>
    <col min="1" max="1" width="14.33203125" style="3" bestFit="1" customWidth="1"/>
    <col min="2" max="2" width="21.109375" style="3" bestFit="1" customWidth="1"/>
    <col min="3" max="3" width="10.6640625" style="3" bestFit="1" customWidth="1"/>
    <col min="4" max="4" width="19.77734375" style="3" bestFit="1" customWidth="1"/>
    <col min="5" max="5" width="12.5546875" style="3" bestFit="1" customWidth="1"/>
    <col min="6" max="6" width="8.88671875" style="3" bestFit="1" customWidth="1"/>
    <col min="7" max="7" width="10" style="3" bestFit="1" customWidth="1"/>
    <col min="8" max="8" width="18.77734375" style="3" bestFit="1" customWidth="1"/>
    <col min="9" max="9" width="11.21875" style="3" bestFit="1" customWidth="1"/>
    <col min="10" max="10" width="11.5546875" style="3" bestFit="1" customWidth="1"/>
    <col min="11" max="11" width="10.33203125" style="5" bestFit="1" customWidth="1"/>
    <col min="12" max="12" width="13.33203125" style="7" bestFit="1" customWidth="1"/>
  </cols>
  <sheetData>
    <row r="1" spans="1:12">
      <c r="A1" s="1" t="s">
        <v>10</v>
      </c>
      <c r="B1" s="1" t="s">
        <v>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38</v>
      </c>
      <c r="I1" s="1" t="s">
        <v>43</v>
      </c>
      <c r="J1" s="1" t="s">
        <v>44</v>
      </c>
      <c r="K1" s="4" t="s">
        <v>45</v>
      </c>
      <c r="L1" s="6" t="s">
        <v>46</v>
      </c>
    </row>
    <row r="2" spans="1:12">
      <c r="A2" s="1" t="s">
        <v>16</v>
      </c>
      <c r="B2" s="1" t="str">
        <f>_xlfn.XLOOKUP(A2,Activity_Data!$A$2:$A$8,Activity_Data!$B$2:$B$8)</f>
        <v>Diesel</v>
      </c>
      <c r="C2" s="1">
        <f>_xlfn.XLOOKUP(A2,Activity_Data!$A$2:$A$8,Activity_Data!$C$2:$C$8)</f>
        <v>1</v>
      </c>
      <c r="D2" s="1" t="str">
        <f>_xlfn.XLOOKUP(A2,Activity_Data!$A$2:$A$8,Activity_Data!$D$2:$D$8)</f>
        <v>—</v>
      </c>
      <c r="E2" s="1">
        <f>_xlfn.XLOOKUP(A2,Activity_Data!$A$2:$A$8,Activity_Data!$E$2:$E$8)</f>
        <v>18000</v>
      </c>
      <c r="F2" s="1" t="str">
        <f>_xlfn.XLOOKUP(A2,Activity_Data!$A$2:$A$8,Activity_Data!$F$2:$F$8)</f>
        <v>litres</v>
      </c>
      <c r="G2" s="1" t="str">
        <f>_xlfn.XLOOKUP(A2,Activity_Data!$A$2:$A$8,Activity_Data!$G$2:$G$8)</f>
        <v>EF001</v>
      </c>
      <c r="H2" s="1">
        <f>_xlfn.XLOOKUP(G2,Emission_Factors!$A$2:$A$8,Emission_Factors!$C$2:$C$8)</f>
        <v>2.68</v>
      </c>
      <c r="I2" s="1" t="str">
        <f>_xlfn.XLOOKUP(G2,Emission_Factors!$A$2:$A$8,Emission_Factors!$D$2:$D$8)</f>
        <v>kg CO₂/L</v>
      </c>
      <c r="J2" s="1">
        <f t="shared" ref="J2:J8" si="0">E2*H2</f>
        <v>48240</v>
      </c>
      <c r="K2" s="4">
        <f t="shared" ref="K2:K8" si="1">J2/1000</f>
        <v>48.24</v>
      </c>
      <c r="L2" s="6">
        <f t="shared" ref="L2:L8" si="2">K2/SUM($K$2:$K$8)</f>
        <v>0.14128397375820057</v>
      </c>
    </row>
    <row r="3" spans="1:12">
      <c r="A3" s="1" t="s">
        <v>20</v>
      </c>
      <c r="B3" s="3" t="str">
        <f>_xlfn.XLOOKUP(A3,Activity_Data!$A$2:$A$8,Activity_Data!$B$2:$B$8)</f>
        <v>Petrol</v>
      </c>
      <c r="C3" s="3">
        <f>_xlfn.XLOOKUP(A3,Activity_Data!$A$2:$A$8,Activity_Data!$C$2:$C$8)</f>
        <v>1</v>
      </c>
      <c r="D3" s="3" t="str">
        <f>_xlfn.XLOOKUP(A3,Activity_Data!$A$2:$A$8,Activity_Data!$D$2:$D$8)</f>
        <v>—</v>
      </c>
      <c r="E3" s="3">
        <f>_xlfn.XLOOKUP(A3,Activity_Data!$A$2:$A$8,Activity_Data!$E$2:$E$8)</f>
        <v>6000</v>
      </c>
      <c r="F3" s="3" t="str">
        <f>_xlfn.XLOOKUP(A3,Activity_Data!$A$2:$A$8,Activity_Data!$F$2:$F$8)</f>
        <v>litres</v>
      </c>
      <c r="G3" s="3" t="str">
        <f>_xlfn.XLOOKUP(A3,Activity_Data!$A$2:$A$8,Activity_Data!$G$2:$G$8)</f>
        <v>EF002</v>
      </c>
      <c r="H3" s="3">
        <f>_xlfn.XLOOKUP(G3,Emission_Factors!$A$2:$A$8,Emission_Factors!$C$2:$C$8)</f>
        <v>2.31</v>
      </c>
      <c r="I3" s="3" t="str">
        <f>_xlfn.XLOOKUP(G3,Emission_Factors!$A$2:$A$8,Emission_Factors!$D$2:$D$8)</f>
        <v>kg CO₂/L</v>
      </c>
      <c r="J3" s="3">
        <f t="shared" si="0"/>
        <v>13860</v>
      </c>
      <c r="K3" s="5">
        <f t="shared" si="1"/>
        <v>13.86</v>
      </c>
      <c r="L3" s="7">
        <f t="shared" si="2"/>
        <v>4.0592783505154641E-2</v>
      </c>
    </row>
    <row r="4" spans="1:12">
      <c r="A4" s="1" t="s">
        <v>22</v>
      </c>
      <c r="B4" s="3" t="str">
        <f>_xlfn.XLOOKUP(A4,Activity_Data!$A$2:$A$8,Activity_Data!$B$2:$B$8)</f>
        <v>Refrigerant leakage</v>
      </c>
      <c r="C4" s="3">
        <f>_xlfn.XLOOKUP(A4,Activity_Data!$A$2:$A$8,Activity_Data!$C$2:$C$8)</f>
        <v>1</v>
      </c>
      <c r="D4" s="3" t="str">
        <f>_xlfn.XLOOKUP(A4,Activity_Data!$A$2:$A$8,Activity_Data!$D$2:$D$8)</f>
        <v>—</v>
      </c>
      <c r="E4" s="3">
        <f>_xlfn.XLOOKUP(A4,Activity_Data!$A$2:$A$8,Activity_Data!$E$2:$E$8)</f>
        <v>20</v>
      </c>
      <c r="F4" s="3" t="str">
        <f>_xlfn.XLOOKUP(A4,Activity_Data!$A$2:$A$8,Activity_Data!$F$2:$F$8)</f>
        <v>kg</v>
      </c>
      <c r="G4" s="3" t="str">
        <f>_xlfn.XLOOKUP(A4,Activity_Data!$A$2:$A$8,Activity_Data!$G$2:$G$8)</f>
        <v>EF004</v>
      </c>
      <c r="H4" s="3">
        <f>_xlfn.XLOOKUP(G4,Emission_Factors!$A$2:$A$8,Emission_Factors!$C$2:$C$8)</f>
        <v>1430</v>
      </c>
      <c r="I4" s="3" t="str">
        <f>_xlfn.XLOOKUP(G4,Emission_Factors!$A$2:$A$8,Emission_Factors!$D$2:$D$8)</f>
        <v>kg CO₂e/kg</v>
      </c>
      <c r="J4" s="3">
        <f t="shared" si="0"/>
        <v>28600</v>
      </c>
      <c r="K4" s="5">
        <f t="shared" si="1"/>
        <v>28.6</v>
      </c>
      <c r="L4" s="7">
        <f t="shared" si="2"/>
        <v>8.3762886597938152E-2</v>
      </c>
    </row>
    <row r="5" spans="1:12">
      <c r="A5" s="1" t="s">
        <v>25</v>
      </c>
      <c r="B5" s="3" t="str">
        <f>_xlfn.XLOOKUP(A5,Activity_Data!$A$2:$A$8,Activity_Data!$B$2:$B$8)</f>
        <v>Grid electricity</v>
      </c>
      <c r="C5" s="3">
        <f>_xlfn.XLOOKUP(A5,Activity_Data!$A$2:$A$8,Activity_Data!$C$2:$C$8)</f>
        <v>2</v>
      </c>
      <c r="D5" s="3" t="str">
        <f>_xlfn.XLOOKUP(A5,Activity_Data!$A$2:$A$8,Activity_Data!$D$2:$D$8)</f>
        <v>—</v>
      </c>
      <c r="E5" s="3">
        <f>_xlfn.XLOOKUP(A5,Activity_Data!$A$2:$A$8,Activity_Data!$E$2:$E$8)</f>
        <v>240000</v>
      </c>
      <c r="F5" s="3" t="str">
        <f>_xlfn.XLOOKUP(A5,Activity_Data!$A$2:$A$8,Activity_Data!$F$2:$F$8)</f>
        <v>kWh</v>
      </c>
      <c r="G5" s="3" t="str">
        <f>_xlfn.XLOOKUP(A5,Activity_Data!$A$2:$A$8,Activity_Data!$G$2:$G$8)</f>
        <v>EF003</v>
      </c>
      <c r="H5" s="3">
        <f>_xlfn.XLOOKUP(G5,Emission_Factors!$A$2:$A$8,Emission_Factors!$C$2:$C$8)</f>
        <v>0.71599999999999997</v>
      </c>
      <c r="I5" s="3" t="str">
        <f>_xlfn.XLOOKUP(G5,Emission_Factors!$A$2:$A$8,Emission_Factors!$D$2:$D$8)</f>
        <v>kg CO₂/kWh</v>
      </c>
      <c r="J5" s="3">
        <f t="shared" si="0"/>
        <v>171840</v>
      </c>
      <c r="K5" s="5">
        <f t="shared" si="1"/>
        <v>171.84</v>
      </c>
      <c r="L5" s="7">
        <f t="shared" si="2"/>
        <v>0.50328022492970947</v>
      </c>
    </row>
    <row r="6" spans="1:12">
      <c r="A6" s="1" t="s">
        <v>28</v>
      </c>
      <c r="B6" s="3" t="str">
        <f>_xlfn.XLOOKUP(A6,Activity_Data!$A$2:$A$8,Activity_Data!$B$2:$B$8)</f>
        <v>Employee commuting</v>
      </c>
      <c r="C6" s="3">
        <f>_xlfn.XLOOKUP(A6,Activity_Data!$A$2:$A$8,Activity_Data!$C$2:$C$8)</f>
        <v>3</v>
      </c>
      <c r="D6" s="3" t="str">
        <f>_xlfn.XLOOKUP(A6,Activity_Data!$A$2:$A$8,Activity_Data!$D$2:$D$8)</f>
        <v>Category 7</v>
      </c>
      <c r="E6" s="3">
        <f>_xlfn.XLOOKUP(A6,Activity_Data!$A$2:$A$8,Activity_Data!$E$2:$E$8)</f>
        <v>80000</v>
      </c>
      <c r="F6" s="3" t="str">
        <f>_xlfn.XLOOKUP(A6,Activity_Data!$A$2:$A$8,Activity_Data!$F$2:$F$8)</f>
        <v>km</v>
      </c>
      <c r="G6" s="3" t="str">
        <f>_xlfn.XLOOKUP(A6,Activity_Data!$A$2:$A$8,Activity_Data!$G$2:$G$8)</f>
        <v>EF005</v>
      </c>
      <c r="H6" s="3">
        <f>_xlfn.XLOOKUP(G6,Emission_Factors!$A$2:$A$8,Emission_Factors!$C$2:$C$8)</f>
        <v>0.18</v>
      </c>
      <c r="I6" s="3" t="str">
        <f>_xlfn.XLOOKUP(G6,Emission_Factors!$A$2:$A$8,Emission_Factors!$D$2:$D$8)</f>
        <v>kg CO₂e/km</v>
      </c>
      <c r="J6" s="3">
        <f t="shared" si="0"/>
        <v>14400</v>
      </c>
      <c r="K6" s="5">
        <f t="shared" si="1"/>
        <v>14.4</v>
      </c>
      <c r="L6" s="7">
        <f t="shared" si="2"/>
        <v>4.2174320524835988E-2</v>
      </c>
    </row>
    <row r="7" spans="1:12">
      <c r="A7" s="1" t="s">
        <v>32</v>
      </c>
      <c r="B7" s="3" t="str">
        <f>_xlfn.XLOOKUP(A7,Activity_Data!$A$2:$A$8,Activity_Data!$B$2:$B$8)</f>
        <v>Purchased raw materials</v>
      </c>
      <c r="C7" s="3">
        <f>_xlfn.XLOOKUP(A7,Activity_Data!$A$2:$A$8,Activity_Data!$C$2:$C$8)</f>
        <v>3</v>
      </c>
      <c r="D7" s="3" t="str">
        <f>_xlfn.XLOOKUP(A7,Activity_Data!$A$2:$A$8,Activity_Data!$D$2:$D$8)</f>
        <v>Category 1</v>
      </c>
      <c r="E7" s="3">
        <f>_xlfn.XLOOKUP(A7,Activity_Data!$A$2:$A$8,Activity_Data!$E$2:$E$8)</f>
        <v>120000</v>
      </c>
      <c r="F7" s="3" t="str">
        <f>_xlfn.XLOOKUP(A7,Activity_Data!$A$2:$A$8,Activity_Data!$F$2:$F$8)</f>
        <v>kg</v>
      </c>
      <c r="G7" s="3" t="str">
        <f>_xlfn.XLOOKUP(A7,Activity_Data!$A$2:$A$8,Activity_Data!$G$2:$G$8)</f>
        <v>EF006</v>
      </c>
      <c r="H7" s="3">
        <f>_xlfn.XLOOKUP(G7,Emission_Factors!$A$2:$A$8,Emission_Factors!$C$2:$C$8)</f>
        <v>0.5</v>
      </c>
      <c r="I7" s="3" t="str">
        <f>_xlfn.XLOOKUP(G7,Emission_Factors!$A$2:$A$8,Emission_Factors!$D$2:$D$8)</f>
        <v>kg CO₂e/kg</v>
      </c>
      <c r="J7" s="3">
        <f t="shared" si="0"/>
        <v>60000</v>
      </c>
      <c r="K7" s="5">
        <f t="shared" si="1"/>
        <v>60</v>
      </c>
      <c r="L7" s="7">
        <f t="shared" si="2"/>
        <v>0.17572633552014996</v>
      </c>
    </row>
    <row r="8" spans="1:12">
      <c r="A8" s="1" t="s">
        <v>35</v>
      </c>
      <c r="B8" s="3" t="str">
        <f>_xlfn.XLOOKUP(A8,Activity_Data!$A$2:$A$8,Activity_Data!$B$2:$B$8)</f>
        <v>Waste treatment</v>
      </c>
      <c r="C8" s="3">
        <f>_xlfn.XLOOKUP(A8,Activity_Data!$A$2:$A$8,Activity_Data!$C$2:$C$8)</f>
        <v>3</v>
      </c>
      <c r="D8" s="3" t="str">
        <f>_xlfn.XLOOKUP(A8,Activity_Data!$A$2:$A$8,Activity_Data!$D$2:$D$8)</f>
        <v>Category 5</v>
      </c>
      <c r="E8" s="3">
        <f>_xlfn.XLOOKUP(A8,Activity_Data!$A$2:$A$8,Activity_Data!$E$2:$E$8)</f>
        <v>15000</v>
      </c>
      <c r="F8" s="3" t="str">
        <f>_xlfn.XLOOKUP(A8,Activity_Data!$A$2:$A$8,Activity_Data!$F$2:$F$8)</f>
        <v>kg</v>
      </c>
      <c r="G8" s="3" t="str">
        <f>_xlfn.XLOOKUP(A8,Activity_Data!$A$2:$A$8,Activity_Data!$G$2:$G$8)</f>
        <v>EF007</v>
      </c>
      <c r="H8" s="3">
        <f>_xlfn.XLOOKUP(G8,Emission_Factors!$A$2:$A$8,Emission_Factors!$C$2:$C$8)</f>
        <v>0.3</v>
      </c>
      <c r="I8" s="3" t="str">
        <f>_xlfn.XLOOKUP(G8,Emission_Factors!$A$2:$A$8,Emission_Factors!$D$2:$D$8)</f>
        <v>kg CO₂e/kg</v>
      </c>
      <c r="J8" s="3">
        <f t="shared" si="0"/>
        <v>4500</v>
      </c>
      <c r="K8" s="5">
        <f t="shared" si="1"/>
        <v>4.5</v>
      </c>
      <c r="L8" s="7">
        <f t="shared" si="2"/>
        <v>1.3179475164011247E-2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9872-AA2F-4C41-9428-C6019CAD9DDA}">
  <dimension ref="A1:I8"/>
  <sheetViews>
    <sheetView workbookViewId="0">
      <selection activeCell="L6" sqref="L6"/>
    </sheetView>
  </sheetViews>
  <sheetFormatPr defaultRowHeight="14.4"/>
  <cols>
    <col min="1" max="1" width="10.6640625" bestFit="1" customWidth="1"/>
    <col min="2" max="2" width="20.5546875" bestFit="1" customWidth="1"/>
    <col min="3" max="3" width="13.33203125" style="10" bestFit="1" customWidth="1"/>
    <col min="5" max="5" width="21.109375" bestFit="1" customWidth="1"/>
    <col min="6" max="6" width="10.6640625" bestFit="1" customWidth="1"/>
    <col min="7" max="7" width="10.33203125" bestFit="1" customWidth="1"/>
    <col min="8" max="8" width="13.33203125" bestFit="1" customWidth="1"/>
    <col min="9" max="9" width="9.5546875" bestFit="1" customWidth="1"/>
  </cols>
  <sheetData>
    <row r="1" spans="1:9">
      <c r="A1" s="1" t="s">
        <v>11</v>
      </c>
      <c r="B1" s="1" t="s">
        <v>47</v>
      </c>
      <c r="C1" s="8" t="s">
        <v>46</v>
      </c>
      <c r="E1" s="1" t="s">
        <v>0</v>
      </c>
      <c r="F1" s="1" t="s">
        <v>11</v>
      </c>
      <c r="G1" s="1" t="s">
        <v>45</v>
      </c>
      <c r="H1" s="1" t="s">
        <v>46</v>
      </c>
      <c r="I1" s="1" t="s">
        <v>52</v>
      </c>
    </row>
    <row r="2" spans="1:9">
      <c r="A2" s="2" t="s">
        <v>48</v>
      </c>
      <c r="B2" s="11">
        <f>IF(A2="Total",SUM(GHG_Calculations!$K$2:$K$8),SUMIF(GHG_Calculations!$C$2:$C$8,VALUE(RIGHT(A2,1)),GHG_Calculations!$K$2:$K$8))</f>
        <v>90.7</v>
      </c>
      <c r="C2" s="9">
        <f t="shared" ref="C2:C5" si="0">IF(A2="Total",1,B2/$B$5)</f>
        <v>0.26563964386129335</v>
      </c>
      <c r="E2" t="str">
        <f>GHG_Calculations!B5</f>
        <v>Grid electricity</v>
      </c>
      <c r="F2">
        <f>GHG_Calculations!C5</f>
        <v>2</v>
      </c>
      <c r="G2" s="12">
        <f>GHG_Calculations!K5</f>
        <v>171.84</v>
      </c>
      <c r="H2" s="10">
        <f>GHG_Calculations!L5</f>
        <v>0.50328022492970947</v>
      </c>
      <c r="I2">
        <f t="shared" ref="I2:I8" si="1">_xlfn.RANK.EQ(G2,$G$2:$G$8,0)</f>
        <v>1</v>
      </c>
    </row>
    <row r="3" spans="1:9">
      <c r="A3" s="2" t="s">
        <v>49</v>
      </c>
      <c r="B3" s="11">
        <f>IF(A3="Total",SUM(GHG_Calculations!$K$2:$K$8),SUMIF(GHG_Calculations!$C$2:$C$8,VALUE(RIGHT(A3,1)),GHG_Calculations!$K$2:$K$8))</f>
        <v>171.84</v>
      </c>
      <c r="C3" s="9">
        <f t="shared" si="0"/>
        <v>0.50328022492970947</v>
      </c>
      <c r="E3" t="str">
        <f>GHG_Calculations!B7</f>
        <v>Purchased raw materials</v>
      </c>
      <c r="F3">
        <f>GHG_Calculations!C7</f>
        <v>3</v>
      </c>
      <c r="G3" s="12">
        <f>GHG_Calculations!K7</f>
        <v>60</v>
      </c>
      <c r="H3" s="10">
        <f>GHG_Calculations!L7</f>
        <v>0.17572633552014996</v>
      </c>
      <c r="I3">
        <f t="shared" si="1"/>
        <v>2</v>
      </c>
    </row>
    <row r="4" spans="1:9">
      <c r="A4" s="2" t="s">
        <v>50</v>
      </c>
      <c r="B4" s="11">
        <f>IF(A4="Total",SUM(GHG_Calculations!$K$2:$K$8),SUMIF(GHG_Calculations!$C$2:$C$8,VALUE(RIGHT(A4,1)),GHG_Calculations!$K$2:$K$8))</f>
        <v>78.900000000000006</v>
      </c>
      <c r="C4" s="9">
        <f t="shared" si="0"/>
        <v>0.2310801312089972</v>
      </c>
      <c r="E4" t="str">
        <f>GHG_Calculations!B2</f>
        <v>Diesel</v>
      </c>
      <c r="F4">
        <f>GHG_Calculations!C2</f>
        <v>1</v>
      </c>
      <c r="G4" s="12">
        <f>GHG_Calculations!K2</f>
        <v>48.24</v>
      </c>
      <c r="H4" s="10">
        <f>GHG_Calculations!L2</f>
        <v>0.14128397375820057</v>
      </c>
      <c r="I4">
        <f t="shared" si="1"/>
        <v>3</v>
      </c>
    </row>
    <row r="5" spans="1:9">
      <c r="A5" s="2" t="s">
        <v>51</v>
      </c>
      <c r="B5" s="11">
        <f>IF(A5="Total",SUM(GHG_Calculations!$K$2:$K$8),SUMIF(GHG_Calculations!$C$2:$C$8,VALUE(RIGHT(A5,1)),GHG_Calculations!$K$2:$K$8))</f>
        <v>341.44</v>
      </c>
      <c r="C5" s="9">
        <f t="shared" si="0"/>
        <v>1</v>
      </c>
      <c r="E5" t="str">
        <f>GHG_Calculations!B4</f>
        <v>Refrigerant leakage</v>
      </c>
      <c r="F5">
        <f>GHG_Calculations!C4</f>
        <v>1</v>
      </c>
      <c r="G5" s="12">
        <f>GHG_Calculations!K4</f>
        <v>28.6</v>
      </c>
      <c r="H5" s="10">
        <f>GHG_Calculations!L4</f>
        <v>8.3762886597938152E-2</v>
      </c>
      <c r="I5">
        <f t="shared" si="1"/>
        <v>4</v>
      </c>
    </row>
    <row r="6" spans="1:9">
      <c r="E6" t="str">
        <f>GHG_Calculations!B6</f>
        <v>Employee commuting</v>
      </c>
      <c r="F6">
        <f>GHG_Calculations!C6</f>
        <v>3</v>
      </c>
      <c r="G6" s="12">
        <f>GHG_Calculations!K6</f>
        <v>14.4</v>
      </c>
      <c r="H6" s="10">
        <f>GHG_Calculations!L6</f>
        <v>4.2174320524835988E-2</v>
      </c>
      <c r="I6">
        <f t="shared" si="1"/>
        <v>5</v>
      </c>
    </row>
    <row r="7" spans="1:9">
      <c r="E7" t="str">
        <f>GHG_Calculations!B3</f>
        <v>Petrol</v>
      </c>
      <c r="F7">
        <f>GHG_Calculations!C3</f>
        <v>1</v>
      </c>
      <c r="G7" s="12">
        <f>GHG_Calculations!K3</f>
        <v>13.86</v>
      </c>
      <c r="H7" s="10">
        <f>GHG_Calculations!L3</f>
        <v>4.0592783505154641E-2</v>
      </c>
      <c r="I7">
        <f t="shared" si="1"/>
        <v>6</v>
      </c>
    </row>
    <row r="8" spans="1:9">
      <c r="E8" t="str">
        <f>GHG_Calculations!B8</f>
        <v>Waste treatment</v>
      </c>
      <c r="F8">
        <f>GHG_Calculations!C8</f>
        <v>3</v>
      </c>
      <c r="G8" s="12">
        <f>GHG_Calculations!K8</f>
        <v>4.5</v>
      </c>
      <c r="H8" s="10">
        <f>GHG_Calculations!L8</f>
        <v>1.3179475164011247E-2</v>
      </c>
      <c r="I8">
        <f t="shared" si="1"/>
        <v>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AEA29-A016-4506-9A16-7F80C2D2EEDE}">
  <dimension ref="A1:B44"/>
  <sheetViews>
    <sheetView topLeftCell="A15" zoomScale="70" zoomScaleNormal="70" workbookViewId="0">
      <selection activeCell="F53" sqref="F53"/>
    </sheetView>
  </sheetViews>
  <sheetFormatPr defaultRowHeight="14.4"/>
  <cols>
    <col min="1" max="1" width="126.77734375" bestFit="1" customWidth="1"/>
    <col min="2" max="2" width="8.21875" bestFit="1" customWidth="1"/>
    <col min="3" max="3" width="12.33203125" bestFit="1" customWidth="1"/>
  </cols>
  <sheetData>
    <row r="1" spans="1:2" ht="24.6">
      <c r="A1" s="14" t="s">
        <v>53</v>
      </c>
    </row>
    <row r="2" spans="1:2">
      <c r="A2" s="13"/>
    </row>
    <row r="5" spans="1:2">
      <c r="A5" s="1" t="s">
        <v>54</v>
      </c>
      <c r="B5" s="1" t="s">
        <v>45</v>
      </c>
    </row>
    <row r="6" spans="1:2">
      <c r="A6" s="2" t="s">
        <v>55</v>
      </c>
      <c r="B6" s="15">
        <f>GHG_Summary!B5</f>
        <v>341.44</v>
      </c>
    </row>
    <row r="7" spans="1:2">
      <c r="A7" s="2" t="s">
        <v>48</v>
      </c>
      <c r="B7" s="15">
        <f>GHG_Summary!B2</f>
        <v>90.7</v>
      </c>
    </row>
    <row r="8" spans="1:2">
      <c r="A8" s="2" t="s">
        <v>49</v>
      </c>
      <c r="B8" s="15">
        <f>GHG_Summary!B3</f>
        <v>171.84</v>
      </c>
    </row>
    <row r="9" spans="1:2">
      <c r="A9" s="2" t="s">
        <v>50</v>
      </c>
      <c r="B9" s="15">
        <f>GHG_Summary!B4</f>
        <v>78.900000000000006</v>
      </c>
    </row>
    <row r="30" spans="1:1">
      <c r="A30" s="16"/>
    </row>
    <row r="37" spans="1:1">
      <c r="A37" s="13"/>
    </row>
    <row r="38" spans="1:1">
      <c r="A38" s="17"/>
    </row>
    <row r="39" spans="1:1">
      <c r="A39" s="17"/>
    </row>
    <row r="40" spans="1:1">
      <c r="A40" s="17"/>
    </row>
    <row r="41" spans="1:1">
      <c r="A41" s="17"/>
    </row>
    <row r="42" spans="1:1">
      <c r="A42" s="17"/>
    </row>
    <row r="43" spans="1:1">
      <c r="A43" s="17"/>
    </row>
    <row r="44" spans="1:1">
      <c r="A44" s="17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1C1F-91CF-408C-96E6-0E6A2CD72CBB}">
  <dimension ref="C2:E2"/>
  <sheetViews>
    <sheetView tabSelected="1" topLeftCell="A4" workbookViewId="0">
      <selection activeCell="M24" sqref="M24"/>
    </sheetView>
  </sheetViews>
  <sheetFormatPr defaultRowHeight="14.4"/>
  <sheetData>
    <row r="2" spans="3:5" ht="21">
      <c r="C2" s="18" t="s">
        <v>56</v>
      </c>
      <c r="D2" s="18"/>
      <c r="E2" s="1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Activity_Data</vt:lpstr>
      <vt:lpstr>Emission_Factors</vt:lpstr>
      <vt:lpstr>GHG_Calculations</vt:lpstr>
      <vt:lpstr>GHG_Summary</vt:lpstr>
      <vt:lpstr>Dashboard</vt:lpstr>
      <vt:lpstr>Methodology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Konda</dc:creator>
  <cp:lastModifiedBy>Ajay Konda</cp:lastModifiedBy>
  <dcterms:created xsi:type="dcterms:W3CDTF">2026-09-26T17:37:21Z</dcterms:created>
  <dcterms:modified xsi:type="dcterms:W3CDTF">2026-09-26T20:21:04Z</dcterms:modified>
</cp:coreProperties>
</file>